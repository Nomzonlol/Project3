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a31dc1b36744290b/CIVE 202/Project 3/"/>
    </mc:Choice>
  </mc:AlternateContent>
  <xr:revisionPtr revIDLastSave="48" documentId="8_{10691D05-E8EB-41D3-8E44-1E2E430A8681}" xr6:coauthVersionLast="47" xr6:coauthVersionMax="47" xr10:uidLastSave="{1BEDA08B-AD6B-49BC-8914-A1C2C3509B98}"/>
  <bookViews>
    <workbookView xWindow="-108" yWindow="-108" windowWidth="23256" windowHeight="1389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11" l="1"/>
  <c r="H7" i="11"/>
  <c r="Q1" i="11" l="1"/>
  <c r="E16" i="11" l="1"/>
  <c r="I5" i="11"/>
  <c r="H26" i="11"/>
  <c r="H25" i="11"/>
  <c r="H21" i="11"/>
  <c r="H15" i="11"/>
  <c r="H11" i="11"/>
  <c r="H8" i="11"/>
  <c r="E22" i="11" l="1"/>
  <c r="E18" i="11"/>
  <c r="H16" i="11"/>
  <c r="H17" i="11"/>
  <c r="H9" i="11"/>
  <c r="E20" i="11"/>
  <c r="I6" i="11"/>
  <c r="H24" i="11" l="1"/>
  <c r="H22" i="11"/>
  <c r="H20" i="11"/>
  <c r="H10" i="11"/>
  <c r="H18" i="11"/>
  <c r="H12" i="11"/>
  <c r="J5" i="11"/>
  <c r="K5" i="11" s="1"/>
  <c r="L5" i="11" s="1"/>
  <c r="M5" i="11" s="1"/>
  <c r="N5" i="11" s="1"/>
  <c r="O5" i="11" s="1"/>
  <c r="P5" i="11" s="1"/>
  <c r="I4" i="11"/>
  <c r="H23" i="11" l="1"/>
  <c r="H19" i="11"/>
  <c r="H13" i="11"/>
  <c r="P4" i="11"/>
  <c r="Q5" i="11"/>
  <c r="R5" i="11" s="1"/>
  <c r="S5" i="11" s="1"/>
  <c r="T5" i="11" s="1"/>
  <c r="U5" i="11" s="1"/>
  <c r="V5" i="11" s="1"/>
  <c r="W5" i="11" s="1"/>
  <c r="J6" i="11"/>
  <c r="H14"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<sst xmlns="http://schemas.openxmlformats.org/spreadsheetml/2006/main" count="44" uniqueCount="31">
  <si>
    <t>Project start:</t>
  </si>
  <si>
    <t>VanArsdel, Ltd.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</si>
  <si>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</si>
  <si>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</si>
  <si>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</si>
  <si>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</si>
  <si>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</si>
  <si>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</si>
  <si>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</si>
  <si>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</si>
  <si>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</si>
  <si>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</si>
  <si>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Draft functions in Python</t>
  </si>
  <si>
    <t>Execution</t>
  </si>
  <si>
    <t>Evaluation</t>
  </si>
  <si>
    <t>Insert new rows ABOVE this one</t>
  </si>
  <si>
    <t xml:space="preserve">Project Planning Gantt Chart </t>
  </si>
  <si>
    <t xml:space="preserve">Nomaan Ahmed </t>
  </si>
  <si>
    <t>CIVE 202 Project #3</t>
  </si>
  <si>
    <t>Data Cleaning</t>
  </si>
  <si>
    <t>ACD</t>
  </si>
  <si>
    <t xml:space="preserve">Technical Support </t>
  </si>
  <si>
    <t xml:space="preserve">SOW </t>
  </si>
  <si>
    <t>Define NHTS and NGSIM Variables</t>
  </si>
  <si>
    <t>Problem #1 Visualize NHTS Vehicle Age &amp; Fuel Trends</t>
  </si>
  <si>
    <t>Problem #2 Analyze Vehicle Year by Urban Category</t>
  </si>
  <si>
    <t>Problem #3 Plot NGSIM Vehicle Trajectory Behavior</t>
  </si>
  <si>
    <t>Code Debugging &amp; Graph Customization</t>
  </si>
  <si>
    <t>GitHub Repository Finalization</t>
  </si>
  <si>
    <t>Final Project Submission</t>
  </si>
  <si>
    <t>Review README &amp; User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</si>
</sst>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11</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11</xdr:row>
      <xdr:rowOff>226786</xdr:rowOff>
    </xdr:from>
    <xdr:to>
      <xdr:col>17</xdr:col>
      <xdr:colOff>18143</xdr:colOff>
      <xdr:row>11</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11</xdr:row>
      <xdr:rowOff>116114</xdr:rowOff>
    </xdr:from>
    <xdr:to>
      <xdr:col>17</xdr:col>
      <xdr:colOff>134257</xdr:colOff>
      <xdr:row>11</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70" zoomScaleNormal="70" zoomScalePageLayoutView="70" workbookViewId="0">
      <selection activeCell="E23" sqref="E23"/>
    </sheetView>
  </sheetViews>
  <sheetFormatPr defaultColWidth="8.59765625" defaultRowHeight="30" customHeight="1" x14ac:dyDescent="0.25"/>
  <cols>
    <col min="1" max="1" width="2.59765625" style="7" customWidth="1"/>
    <col min="2" max="2" width="51.5" bestFit="1"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9">
      <c r="A1" s="8"/>
      <c r="B1" s="92" t="s">
        <v>18</v>
      </c>
      <c r="C1" s="12"/>
      <c r="D1" s="13"/>
      <c r="E1" s="14"/>
      <c r="F1" s="15"/>
      <c r="H1" s="1"/>
      <c r="I1" s="101" t="s">
        <v>0</v>
      </c>
      <c r="J1" s="102"/>
      <c r="K1" s="102"/>
      <c r="L1" s="102"/>
      <c r="M1" s="102"/>
      <c r="N1" s="102"/>
      <c r="O1" s="102"/>
      <c r="P1" s="18"/>
      <c r="Q1" s="100">
        <f ca="1">TODAY()</f>
        <v>46112</v>
      </c>
      <c r="R1" s="99"/>
      <c r="S1" s="99"/>
      <c r="T1" s="99"/>
      <c r="U1" s="99"/>
      <c r="V1" s="99"/>
      <c r="W1" s="99"/>
      <c r="X1" s="99"/>
      <c r="Y1" s="99"/>
      <c r="Z1" s="99"/>
    </row>
    <row r="2" spans="1:64" ht="30" customHeight="1" x14ac:dyDescent="0.6">
      <c r="B2" s="90" t="s">
        <v>1</v>
      </c>
      <c r="C2" s="91" t="s">
        <v>17</v>
      </c>
      <c r="D2" s="16"/>
      <c r="E2" s="17"/>
      <c r="F2" s="16"/>
      <c r="I2" s="101" t="s">
        <v>2</v>
      </c>
      <c r="J2" s="102"/>
      <c r="K2" s="102"/>
      <c r="L2" s="102"/>
      <c r="M2" s="102"/>
      <c r="N2" s="102"/>
      <c r="O2" s="102"/>
      <c r="P2" s="18"/>
      <c r="Q2" s="98">
        <v>1</v>
      </c>
      <c r="R2" s="99"/>
      <c r="S2" s="99"/>
      <c r="T2" s="99"/>
      <c r="U2" s="99"/>
      <c r="V2" s="99"/>
      <c r="W2" s="99"/>
      <c r="X2" s="99"/>
      <c r="Y2" s="99"/>
      <c r="Z2" s="99"/>
    </row>
    <row r="3" spans="1:64" s="20" customFormat="1" ht="30" customHeight="1" x14ac:dyDescent="0.25">
      <c r="A3" s="7"/>
      <c r="B3" s="19" t="s">
        <v>3</v>
      </c>
      <c r="D3" s="21"/>
      <c r="E3" s="22"/>
    </row>
    <row r="4" spans="1:64" s="20" customFormat="1" ht="30" customHeight="1" x14ac:dyDescent="0.25">
      <c r="A4" s="8"/>
      <c r="B4" s="23" t="s">
        <v>4</v>
      </c>
      <c r="E4" s="24"/>
      <c r="I4" s="95">
        <f ca="1">I5</f>
        <v>46111</v>
      </c>
      <c r="J4" s="93"/>
      <c r="K4" s="93"/>
      <c r="L4" s="93"/>
      <c r="M4" s="93"/>
      <c r="N4" s="93"/>
      <c r="O4" s="93"/>
      <c r="P4" s="93">
        <f ca="1">P5</f>
        <v>46118</v>
      </c>
      <c r="Q4" s="93"/>
      <c r="R4" s="93"/>
      <c r="S4" s="93"/>
      <c r="T4" s="93"/>
      <c r="U4" s="93"/>
      <c r="V4" s="93"/>
      <c r="W4" s="93">
        <f ca="1">W5</f>
        <v>46125</v>
      </c>
      <c r="X4" s="93"/>
      <c r="Y4" s="93"/>
      <c r="Z4" s="93"/>
      <c r="AA4" s="93"/>
      <c r="AB4" s="93"/>
      <c r="AC4" s="93"/>
      <c r="AD4" s="93">
        <f ca="1">AD5</f>
        <v>46132</v>
      </c>
      <c r="AE4" s="93"/>
      <c r="AF4" s="93"/>
      <c r="AG4" s="93"/>
      <c r="AH4" s="93"/>
      <c r="AI4" s="93"/>
      <c r="AJ4" s="93"/>
      <c r="AK4" s="93">
        <f ca="1">AK5</f>
        <v>46139</v>
      </c>
      <c r="AL4" s="93"/>
      <c r="AM4" s="93"/>
      <c r="AN4" s="93"/>
      <c r="AO4" s="93"/>
      <c r="AP4" s="93"/>
      <c r="AQ4" s="93"/>
      <c r="AR4" s="93">
        <f ca="1">AR5</f>
        <v>46146</v>
      </c>
      <c r="AS4" s="93"/>
      <c r="AT4" s="93"/>
      <c r="AU4" s="93"/>
      <c r="AV4" s="93"/>
      <c r="AW4" s="93"/>
      <c r="AX4" s="93"/>
      <c r="AY4" s="93">
        <f ca="1">AY5</f>
        <v>46153</v>
      </c>
      <c r="AZ4" s="93"/>
      <c r="BA4" s="93"/>
      <c r="BB4" s="93"/>
      <c r="BC4" s="93"/>
      <c r="BD4" s="93"/>
      <c r="BE4" s="93"/>
      <c r="BF4" s="93">
        <f ca="1">BF5</f>
        <v>46160</v>
      </c>
      <c r="BG4" s="93"/>
      <c r="BH4" s="93"/>
      <c r="BI4" s="93"/>
      <c r="BJ4" s="93"/>
      <c r="BK4" s="93"/>
      <c r="BL4" s="94"/>
    </row>
    <row r="5" spans="1:64" s="20" customFormat="1" ht="15" customHeight="1" x14ac:dyDescent="0.25">
      <c r="A5" s="103"/>
      <c r="B5" s="104" t="s">
        <v>5</v>
      </c>
      <c r="C5" s="106" t="s">
        <v>6</v>
      </c>
      <c r="D5" s="96" t="s">
        <v>7</v>
      </c>
      <c r="E5" s="96" t="s">
        <v>8</v>
      </c>
      <c r="F5" s="96" t="s">
        <v>9</v>
      </c>
      <c r="I5" s="25">
        <f ca="1">Project_Start-WEEKDAY(Project_Start,1)+2+7*(Display_Week-1)</f>
        <v>46111</v>
      </c>
      <c r="J5" s="25">
        <f ca="1">I5+1</f>
        <v>46112</v>
      </c>
      <c r="K5" s="25">
        <f t="shared" ref="K5:AX5" ca="1" si="0">J5+1</f>
        <v>46113</v>
      </c>
      <c r="L5" s="25">
        <f t="shared" ca="1" si="0"/>
        <v>46114</v>
      </c>
      <c r="M5" s="25">
        <f t="shared" ca="1" si="0"/>
        <v>46115</v>
      </c>
      <c r="N5" s="25">
        <f t="shared" ca="1" si="0"/>
        <v>46116</v>
      </c>
      <c r="O5" s="26">
        <f t="shared" ca="1" si="0"/>
        <v>46117</v>
      </c>
      <c r="P5" s="27">
        <f ca="1">O5+1</f>
        <v>46118</v>
      </c>
      <c r="Q5" s="25">
        <f ca="1">P5+1</f>
        <v>46119</v>
      </c>
      <c r="R5" s="25">
        <f t="shared" ca="1" si="0"/>
        <v>46120</v>
      </c>
      <c r="S5" s="25">
        <f t="shared" ca="1" si="0"/>
        <v>46121</v>
      </c>
      <c r="T5" s="25">
        <f t="shared" ca="1" si="0"/>
        <v>46122</v>
      </c>
      <c r="U5" s="25">
        <f t="shared" ca="1" si="0"/>
        <v>46123</v>
      </c>
      <c r="V5" s="26">
        <f t="shared" ca="1" si="0"/>
        <v>46124</v>
      </c>
      <c r="W5" s="27">
        <f ca="1">V5+1</f>
        <v>46125</v>
      </c>
      <c r="X5" s="25">
        <f ca="1">W5+1</f>
        <v>46126</v>
      </c>
      <c r="Y5" s="25">
        <f t="shared" ca="1" si="0"/>
        <v>46127</v>
      </c>
      <c r="Z5" s="25">
        <f t="shared" ca="1" si="0"/>
        <v>46128</v>
      </c>
      <c r="AA5" s="25">
        <f t="shared" ca="1" si="0"/>
        <v>46129</v>
      </c>
      <c r="AB5" s="25">
        <f t="shared" ca="1" si="0"/>
        <v>46130</v>
      </c>
      <c r="AC5" s="26">
        <f t="shared" ca="1" si="0"/>
        <v>46131</v>
      </c>
      <c r="AD5" s="27">
        <f ca="1">AC5+1</f>
        <v>46132</v>
      </c>
      <c r="AE5" s="25">
        <f ca="1">AD5+1</f>
        <v>46133</v>
      </c>
      <c r="AF5" s="25">
        <f t="shared" ca="1" si="0"/>
        <v>46134</v>
      </c>
      <c r="AG5" s="25">
        <f t="shared" ca="1" si="0"/>
        <v>46135</v>
      </c>
      <c r="AH5" s="25">
        <f t="shared" ca="1" si="0"/>
        <v>46136</v>
      </c>
      <c r="AI5" s="25">
        <f t="shared" ca="1" si="0"/>
        <v>46137</v>
      </c>
      <c r="AJ5" s="26">
        <f t="shared" ca="1" si="0"/>
        <v>46138</v>
      </c>
      <c r="AK5" s="27">
        <f ca="1">AJ5+1</f>
        <v>46139</v>
      </c>
      <c r="AL5" s="25">
        <f ca="1">AK5+1</f>
        <v>46140</v>
      </c>
      <c r="AM5" s="25">
        <f t="shared" ca="1" si="0"/>
        <v>46141</v>
      </c>
      <c r="AN5" s="25">
        <f t="shared" ca="1" si="0"/>
        <v>46142</v>
      </c>
      <c r="AO5" s="25">
        <f t="shared" ca="1" si="0"/>
        <v>46143</v>
      </c>
      <c r="AP5" s="25">
        <f t="shared" ca="1" si="0"/>
        <v>46144</v>
      </c>
      <c r="AQ5" s="26">
        <f t="shared" ca="1" si="0"/>
        <v>46145</v>
      </c>
      <c r="AR5" s="27">
        <f ca="1">AQ5+1</f>
        <v>46146</v>
      </c>
      <c r="AS5" s="25">
        <f ca="1">AR5+1</f>
        <v>46147</v>
      </c>
      <c r="AT5" s="25">
        <f t="shared" ca="1" si="0"/>
        <v>46148</v>
      </c>
      <c r="AU5" s="25">
        <f t="shared" ca="1" si="0"/>
        <v>46149</v>
      </c>
      <c r="AV5" s="25">
        <f t="shared" ca="1" si="0"/>
        <v>46150</v>
      </c>
      <c r="AW5" s="25">
        <f t="shared" ca="1" si="0"/>
        <v>46151</v>
      </c>
      <c r="AX5" s="26">
        <f t="shared" ca="1" si="0"/>
        <v>46152</v>
      </c>
      <c r="AY5" s="27">
        <f ca="1">AX5+1</f>
        <v>46153</v>
      </c>
      <c r="AZ5" s="25">
        <f ca="1">AY5+1</f>
        <v>46154</v>
      </c>
      <c r="BA5" s="25">
        <f t="shared" ref="BA5:BE5" ca="1" si="1">AZ5+1</f>
        <v>46155</v>
      </c>
      <c r="BB5" s="25">
        <f t="shared" ca="1" si="1"/>
        <v>46156</v>
      </c>
      <c r="BC5" s="25">
        <f t="shared" ca="1" si="1"/>
        <v>46157</v>
      </c>
      <c r="BD5" s="25">
        <f t="shared" ca="1" si="1"/>
        <v>46158</v>
      </c>
      <c r="BE5" s="26">
        <f t="shared" ca="1" si="1"/>
        <v>46159</v>
      </c>
      <c r="BF5" s="27">
        <f ca="1">BE5+1</f>
        <v>46160</v>
      </c>
      <c r="BG5" s="25">
        <f ca="1">BF5+1</f>
        <v>46161</v>
      </c>
      <c r="BH5" s="25">
        <f t="shared" ref="BH5:BL5" ca="1" si="2">BG5+1</f>
        <v>46162</v>
      </c>
      <c r="BI5" s="25">
        <f t="shared" ca="1" si="2"/>
        <v>46163</v>
      </c>
      <c r="BJ5" s="25">
        <f t="shared" ca="1" si="2"/>
        <v>46164</v>
      </c>
      <c r="BK5" s="25">
        <f t="shared" ca="1" si="2"/>
        <v>46165</v>
      </c>
      <c r="BL5" s="25">
        <f t="shared" ca="1" si="2"/>
        <v>46166</v>
      </c>
    </row>
    <row r="6" spans="1:64" s="20" customFormat="1" ht="15" customHeight="1" thickBot="1" x14ac:dyDescent="0.3">
      <c r="A6" s="103"/>
      <c r="B6" s="105"/>
      <c r="C6" s="97"/>
      <c r="D6" s="97"/>
      <c r="E6" s="97"/>
      <c r="F6" s="97"/>
      <c r="I6" s="28" t="str">
        <f t="shared" ref="I6:AN6" ca="1" si="3">LEFT(TEXT(I5,"ddd"),1)</f>
        <v>M</v>
      </c>
      <c r="J6" s="29" t="str">
        <f t="shared" ca="1" si="3"/>
        <v>T</v>
      </c>
      <c r="K6" s="29" t="str">
        <f t="shared" ca="1" si="3"/>
        <v>W</v>
      </c>
      <c r="L6" s="29" t="str">
        <f t="shared" ca="1" si="3"/>
        <v>T</v>
      </c>
      <c r="M6" s="29" t="str">
        <f t="shared" ca="1" si="3"/>
        <v>F</v>
      </c>
      <c r="N6" s="29" t="str">
        <f t="shared" ca="1" si="3"/>
        <v>S</v>
      </c>
      <c r="O6" s="29" t="str">
        <f t="shared" ca="1" si="3"/>
        <v>S</v>
      </c>
      <c r="P6" s="29" t="str">
        <f t="shared" ca="1" si="3"/>
        <v>M</v>
      </c>
      <c r="Q6" s="29" t="str">
        <f t="shared" ca="1" si="3"/>
        <v>T</v>
      </c>
      <c r="R6" s="29" t="str">
        <f t="shared" ca="1" si="3"/>
        <v>W</v>
      </c>
      <c r="S6" s="29" t="str">
        <f t="shared" ca="1" si="3"/>
        <v>T</v>
      </c>
      <c r="T6" s="29" t="str">
        <f t="shared" ca="1" si="3"/>
        <v>F</v>
      </c>
      <c r="U6" s="29" t="str">
        <f t="shared" ca="1" si="3"/>
        <v>S</v>
      </c>
      <c r="V6" s="29" t="str">
        <f t="shared" ca="1" si="3"/>
        <v>S</v>
      </c>
      <c r="W6" s="29" t="str">
        <f t="shared" ca="1" si="3"/>
        <v>M</v>
      </c>
      <c r="X6" s="29" t="str">
        <f t="shared" ca="1" si="3"/>
        <v>T</v>
      </c>
      <c r="Y6" s="29" t="str">
        <f t="shared" ca="1" si="3"/>
        <v>W</v>
      </c>
      <c r="Z6" s="29" t="str">
        <f t="shared" ca="1" si="3"/>
        <v>T</v>
      </c>
      <c r="AA6" s="29" t="str">
        <f t="shared" ca="1" si="3"/>
        <v>F</v>
      </c>
      <c r="AB6" s="29" t="str">
        <f t="shared" ca="1" si="3"/>
        <v>S</v>
      </c>
      <c r="AC6" s="29" t="str">
        <f t="shared" ca="1" si="3"/>
        <v>S</v>
      </c>
      <c r="AD6" s="29" t="str">
        <f t="shared" ca="1" si="3"/>
        <v>M</v>
      </c>
      <c r="AE6" s="29" t="str">
        <f t="shared" ca="1" si="3"/>
        <v>T</v>
      </c>
      <c r="AF6" s="29" t="str">
        <f t="shared" ca="1" si="3"/>
        <v>W</v>
      </c>
      <c r="AG6" s="29" t="str">
        <f t="shared" ca="1" si="3"/>
        <v>T</v>
      </c>
      <c r="AH6" s="29" t="str">
        <f t="shared" ca="1" si="3"/>
        <v>F</v>
      </c>
      <c r="AI6" s="29" t="str">
        <f t="shared" ca="1" si="3"/>
        <v>S</v>
      </c>
      <c r="AJ6" s="29" t="str">
        <f t="shared" ca="1" si="3"/>
        <v>S</v>
      </c>
      <c r="AK6" s="29" t="str">
        <f t="shared" ca="1" si="3"/>
        <v>M</v>
      </c>
      <c r="AL6" s="29" t="str">
        <f t="shared" ca="1" si="3"/>
        <v>T</v>
      </c>
      <c r="AM6" s="29" t="str">
        <f t="shared" ca="1" si="3"/>
        <v>W</v>
      </c>
      <c r="AN6" s="29" t="str">
        <f t="shared" ca="1" si="3"/>
        <v>T</v>
      </c>
      <c r="AO6" s="29" t="str">
        <f t="shared" ref="AO6:BL6" ca="1" si="4">LEFT(TEXT(AO5,"ddd"),1)</f>
        <v>F</v>
      </c>
      <c r="AP6" s="29" t="str">
        <f t="shared" ca="1" si="4"/>
        <v>S</v>
      </c>
      <c r="AQ6" s="29" t="str">
        <f t="shared" ca="1" si="4"/>
        <v>S</v>
      </c>
      <c r="AR6" s="29" t="str">
        <f t="shared" ca="1" si="4"/>
        <v>M</v>
      </c>
      <c r="AS6" s="29" t="str">
        <f t="shared" ca="1" si="4"/>
        <v>T</v>
      </c>
      <c r="AT6" s="29" t="str">
        <f t="shared" ca="1" si="4"/>
        <v>W</v>
      </c>
      <c r="AU6" s="29" t="str">
        <f t="shared" ca="1" si="4"/>
        <v>T</v>
      </c>
      <c r="AV6" s="29" t="str">
        <f t="shared" ca="1" si="4"/>
        <v>F</v>
      </c>
      <c r="AW6" s="29" t="str">
        <f t="shared" ca="1" si="4"/>
        <v>S</v>
      </c>
      <c r="AX6" s="29" t="str">
        <f t="shared" ca="1" si="4"/>
        <v>S</v>
      </c>
      <c r="AY6" s="29" t="str">
        <f t="shared" ca="1" si="4"/>
        <v>M</v>
      </c>
      <c r="AZ6" s="29" t="str">
        <f t="shared" ca="1" si="4"/>
        <v>T</v>
      </c>
      <c r="BA6" s="29" t="str">
        <f t="shared" ca="1" si="4"/>
        <v>W</v>
      </c>
      <c r="BB6" s="29" t="str">
        <f t="shared" ca="1" si="4"/>
        <v>T</v>
      </c>
      <c r="BC6" s="29" t="str">
        <f t="shared" ca="1" si="4"/>
        <v>F</v>
      </c>
      <c r="BD6" s="29" t="str">
        <f t="shared" ca="1" si="4"/>
        <v>S</v>
      </c>
      <c r="BE6" s="29" t="str">
        <f t="shared" ca="1" si="4"/>
        <v>S</v>
      </c>
      <c r="BF6" s="29" t="str">
        <f t="shared" ca="1" si="4"/>
        <v>M</v>
      </c>
      <c r="BG6" s="29" t="str">
        <f t="shared" ca="1" si="4"/>
        <v>T</v>
      </c>
      <c r="BH6" s="29" t="str">
        <f t="shared" ca="1" si="4"/>
        <v>W</v>
      </c>
      <c r="BI6" s="29" t="str">
        <f t="shared" ca="1" si="4"/>
        <v>T</v>
      </c>
      <c r="BJ6" s="29" t="str">
        <f t="shared" ca="1" si="4"/>
        <v>F</v>
      </c>
      <c r="BK6" s="29" t="str">
        <f t="shared" ca="1" si="4"/>
        <v>S</v>
      </c>
      <c r="BL6" s="30" t="str">
        <f t="shared" ca="1" si="4"/>
        <v>S</v>
      </c>
    </row>
    <row r="7" spans="1:64" s="20" customFormat="1" ht="30" hidden="1" customHeight="1" thickBot="1" x14ac:dyDescent="0.3">
      <c r="A7" s="7" t="s">
        <v>10</v>
      </c>
      <c r="B7" s="31"/>
      <c r="C7" s="32"/>
      <c r="D7" s="31"/>
      <c r="E7" s="31"/>
      <c r="F7" s="31"/>
      <c r="H7" s="20"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0" customFormat="1" ht="30" customHeight="1" thickBot="1" x14ac:dyDescent="0.3">
      <c r="A8" s="8"/>
      <c r="B8" s="34" t="s">
        <v>11</v>
      </c>
      <c r="C8" s="35"/>
      <c r="D8" s="36"/>
      <c r="E8" s="37"/>
      <c r="F8" s="38"/>
      <c r="G8" s="11"/>
      <c r="H8" s="5" t="str">
        <f t="shared" ref="H8:H26" si="5">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row>
    <row r="9" spans="1:64" s="40" customFormat="1" ht="30" customHeight="1" thickBot="1" x14ac:dyDescent="0.3">
      <c r="A9" s="8"/>
      <c r="B9" s="41" t="s">
        <v>16</v>
      </c>
      <c r="C9" s="42" t="s">
        <v>17</v>
      </c>
      <c r="D9" s="43">
        <v>1</v>
      </c>
      <c r="E9" s="44">
        <v>46087</v>
      </c>
      <c r="F9" s="44">
        <v>46112</v>
      </c>
      <c r="G9" s="11"/>
      <c r="H9" s="5">
        <f t="shared" si="5"/>
        <v>26</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0" customFormat="1" ht="30" customHeight="1" thickBot="1" x14ac:dyDescent="0.3">
      <c r="A10" s="8"/>
      <c r="B10" s="46" t="s">
        <v>23</v>
      </c>
      <c r="C10" s="47" t="s">
        <v>17</v>
      </c>
      <c r="D10" s="48">
        <v>1</v>
      </c>
      <c r="E10" s="49">
        <v>46086</v>
      </c>
      <c r="F10" s="44">
        <v>46112</v>
      </c>
      <c r="G10" s="11"/>
      <c r="H10" s="5">
        <f t="shared" si="5"/>
        <v>27</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0" customFormat="1" ht="30" customHeight="1" thickBot="1" x14ac:dyDescent="0.3">
      <c r="A11" s="8"/>
      <c r="B11" s="51" t="s">
        <v>12</v>
      </c>
      <c r="C11" s="52"/>
      <c r="D11" s="53"/>
      <c r="E11" s="54"/>
      <c r="F11" s="55"/>
      <c r="G11" s="11"/>
      <c r="H11" s="5" t="str">
        <f t="shared" si="5"/>
        <v/>
      </c>
    </row>
    <row r="12" spans="1:64" s="40" customFormat="1" ht="30" customHeight="1" thickBot="1" x14ac:dyDescent="0.3">
      <c r="A12" s="8"/>
      <c r="B12" s="56" t="s">
        <v>24</v>
      </c>
      <c r="C12" s="57" t="s">
        <v>17</v>
      </c>
      <c r="D12" s="58">
        <v>1</v>
      </c>
      <c r="E12" s="59">
        <v>46087</v>
      </c>
      <c r="F12" s="59">
        <v>46112</v>
      </c>
      <c r="G12" s="11"/>
      <c r="H12" s="5">
        <f t="shared" si="5"/>
        <v>26</v>
      </c>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0" customFormat="1" ht="30" customHeight="1" thickBot="1" x14ac:dyDescent="0.3">
      <c r="A13" s="7"/>
      <c r="B13" s="56" t="s">
        <v>25</v>
      </c>
      <c r="C13" s="57" t="s">
        <v>17</v>
      </c>
      <c r="D13" s="58">
        <v>1</v>
      </c>
      <c r="E13" s="59">
        <f>E12+2</f>
        <v>46089</v>
      </c>
      <c r="F13" s="59">
        <v>46112</v>
      </c>
      <c r="G13" s="11"/>
      <c r="H13" s="5">
        <f t="shared" si="5"/>
        <v>24</v>
      </c>
      <c r="I13" s="45"/>
      <c r="J13" s="45"/>
      <c r="K13" s="45"/>
      <c r="L13" s="45"/>
      <c r="M13" s="45"/>
      <c r="N13" s="45"/>
      <c r="O13" s="45"/>
      <c r="P13" s="45"/>
      <c r="Q13" s="45"/>
      <c r="R13" s="45"/>
      <c r="S13" s="45"/>
      <c r="T13" s="45"/>
      <c r="U13" s="50"/>
      <c r="V13" s="50"/>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0" customFormat="1" ht="30" customHeight="1" thickBot="1" x14ac:dyDescent="0.3">
      <c r="A14" s="7"/>
      <c r="B14" s="56" t="s">
        <v>26</v>
      </c>
      <c r="C14" s="57" t="s">
        <v>17</v>
      </c>
      <c r="D14" s="58">
        <v>1</v>
      </c>
      <c r="E14" s="59">
        <v>46088</v>
      </c>
      <c r="F14" s="59">
        <v>46112</v>
      </c>
      <c r="G14" s="11"/>
      <c r="H14" s="5">
        <f t="shared" si="5"/>
        <v>25</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0" customFormat="1" ht="30" customHeight="1" thickBot="1" x14ac:dyDescent="0.3">
      <c r="A15" s="7"/>
      <c r="B15" s="60" t="s">
        <v>13</v>
      </c>
      <c r="C15" s="61"/>
      <c r="D15" s="62"/>
      <c r="E15" s="63"/>
      <c r="F15" s="64"/>
      <c r="G15" s="11"/>
      <c r="H15" s="5" t="str">
        <f t="shared" si="5"/>
        <v/>
      </c>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row>
    <row r="16" spans="1:64" s="40" customFormat="1" ht="30" customHeight="1" thickBot="1" x14ac:dyDescent="0.3">
      <c r="A16" s="7"/>
      <c r="B16" s="66" t="s">
        <v>19</v>
      </c>
      <c r="C16" s="67" t="s">
        <v>17</v>
      </c>
      <c r="D16" s="68">
        <v>1</v>
      </c>
      <c r="E16" s="69">
        <f>E9+15</f>
        <v>46102</v>
      </c>
      <c r="F16" s="69">
        <v>46112</v>
      </c>
      <c r="G16" s="11"/>
      <c r="H16" s="5">
        <f t="shared" si="5"/>
        <v>11</v>
      </c>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0" customFormat="1" ht="30" customHeight="1" thickBot="1" x14ac:dyDescent="0.3">
      <c r="A17" s="7"/>
      <c r="B17" s="66" t="s">
        <v>27</v>
      </c>
      <c r="C17" s="67" t="s">
        <v>17</v>
      </c>
      <c r="D17" s="68">
        <v>1</v>
      </c>
      <c r="E17" s="69">
        <v>46090</v>
      </c>
      <c r="F17" s="69">
        <v>46112</v>
      </c>
      <c r="G17" s="11"/>
      <c r="H17" s="5">
        <f t="shared" si="5"/>
        <v>23</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0" customFormat="1" ht="30" customHeight="1" thickBot="1" x14ac:dyDescent="0.3">
      <c r="A18" s="7"/>
      <c r="B18" s="66" t="s">
        <v>20</v>
      </c>
      <c r="C18" s="67" t="s">
        <v>17</v>
      </c>
      <c r="D18" s="68">
        <v>1</v>
      </c>
      <c r="E18" s="69">
        <f>E17+5</f>
        <v>46095</v>
      </c>
      <c r="F18" s="69">
        <v>46112</v>
      </c>
      <c r="G18" s="11"/>
      <c r="H18" s="5">
        <f t="shared" si="5"/>
        <v>18</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0" customFormat="1" ht="30" customHeight="1" thickBot="1" x14ac:dyDescent="0.3">
      <c r="A19" s="7"/>
      <c r="B19" s="66" t="s">
        <v>21</v>
      </c>
      <c r="C19" s="67" t="s">
        <v>17</v>
      </c>
      <c r="D19" s="68">
        <v>1</v>
      </c>
      <c r="E19" s="69">
        <v>46091</v>
      </c>
      <c r="F19" s="69">
        <v>46112</v>
      </c>
      <c r="G19" s="11"/>
      <c r="H19" s="5">
        <f t="shared" si="5"/>
        <v>22</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0" customFormat="1" ht="30" customHeight="1" thickBot="1" x14ac:dyDescent="0.3">
      <c r="A20" s="7"/>
      <c r="B20" s="66" t="s">
        <v>22</v>
      </c>
      <c r="C20" s="67" t="s">
        <v>17</v>
      </c>
      <c r="D20" s="68">
        <v>1</v>
      </c>
      <c r="E20" s="69">
        <f>E18</f>
        <v>46095</v>
      </c>
      <c r="F20" s="69">
        <v>46112</v>
      </c>
      <c r="G20" s="11"/>
      <c r="H20" s="5">
        <f t="shared" si="5"/>
        <v>18</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0" customFormat="1" ht="30" customHeight="1" thickBot="1" x14ac:dyDescent="0.3">
      <c r="A21" s="7"/>
      <c r="B21" s="70" t="s">
        <v>14</v>
      </c>
      <c r="C21" s="71"/>
      <c r="D21" s="72"/>
      <c r="E21" s="73"/>
      <c r="F21" s="74"/>
      <c r="G21" s="11"/>
      <c r="H21" s="5" t="str">
        <f t="shared" si="5"/>
        <v/>
      </c>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row>
    <row r="22" spans="1:64" s="40" customFormat="1" ht="30" customHeight="1" thickBot="1" x14ac:dyDescent="0.3">
      <c r="A22" s="7"/>
      <c r="B22" s="76" t="s">
        <v>28</v>
      </c>
      <c r="C22" s="77" t="s">
        <v>17</v>
      </c>
      <c r="D22" s="78">
        <v>1</v>
      </c>
      <c r="E22" s="79">
        <f>E16+2</f>
        <v>46104</v>
      </c>
      <c r="F22" s="79">
        <v>46112</v>
      </c>
      <c r="G22" s="11"/>
      <c r="H22" s="5">
        <f t="shared" si="5"/>
        <v>9</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0" customFormat="1" ht="30" customHeight="1" thickBot="1" x14ac:dyDescent="0.3">
      <c r="A23" s="7"/>
      <c r="B23" s="76" t="s">
        <v>29</v>
      </c>
      <c r="C23" s="77" t="s">
        <v>17</v>
      </c>
      <c r="D23" s="78">
        <v>1</v>
      </c>
      <c r="E23" s="79">
        <v>46096</v>
      </c>
      <c r="F23" s="79">
        <v>46112</v>
      </c>
      <c r="G23" s="11"/>
      <c r="H23" s="5">
        <f t="shared" si="5"/>
        <v>17</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0" customFormat="1" ht="30" customHeight="1" thickBot="1" x14ac:dyDescent="0.3">
      <c r="A24" s="7"/>
      <c r="B24" s="76" t="s">
        <v>30</v>
      </c>
      <c r="C24" s="77" t="s">
        <v>17</v>
      </c>
      <c r="D24" s="78">
        <v>1</v>
      </c>
      <c r="E24" s="79">
        <v>46104</v>
      </c>
      <c r="F24" s="79">
        <v>46112</v>
      </c>
      <c r="G24" s="11"/>
      <c r="H24" s="5">
        <f t="shared" si="5"/>
        <v>9</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0" customFormat="1" ht="30" customHeight="1" thickBot="1" x14ac:dyDescent="0.3">
      <c r="A25" s="7"/>
      <c r="B25" s="80"/>
      <c r="C25" s="81"/>
      <c r="D25" s="82"/>
      <c r="E25" s="83"/>
      <c r="F25" s="83"/>
      <c r="G25" s="11"/>
      <c r="H25" s="5" t="str">
        <f t="shared" si="5"/>
        <v/>
      </c>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row>
    <row r="26" spans="1:64" s="40" customFormat="1" ht="30" customHeight="1" thickBot="1" x14ac:dyDescent="0.3">
      <c r="A26" s="8"/>
      <c r="B26" s="84" t="s">
        <v>15</v>
      </c>
      <c r="C26" s="85"/>
      <c r="D26" s="86"/>
      <c r="E26" s="87"/>
      <c r="F26" s="88"/>
      <c r="G26" s="11"/>
      <c r="H26" s="6" t="str">
        <f t="shared" si="5"/>
        <v/>
      </c>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row>
    <row r="27" spans="1:64" ht="30" customHeight="1" x14ac:dyDescent="0.25">
      <c r="G27" s="3"/>
    </row>
    <row r="28" spans="1:64" ht="30" customHeight="1" x14ac:dyDescent="0.25">
      <c r="C28" s="10"/>
      <c r="F28" s="9"/>
    </row>
    <row r="29" spans="1:64" ht="30" customHeight="1" x14ac:dyDescent="0.25">
      <c r="C29"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4">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4">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6:BL20">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2:BL24">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5"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E18"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Nomaan Ahmed</cp:lastModifiedBy>
  <cp:revision/>
  <dcterms:created xsi:type="dcterms:W3CDTF">2022-03-11T22:41:12Z</dcterms:created>
  <dcterms:modified xsi:type="dcterms:W3CDTF">2026-03-31T21:13:44Z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